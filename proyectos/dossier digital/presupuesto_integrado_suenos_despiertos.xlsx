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gramacion PY JOMPA\"/>
    </mc:Choice>
  </mc:AlternateContent>
  <xr:revisionPtr revIDLastSave="0" documentId="13_ncr:1_{35EB6D65-7090-4BDF-ACF4-D3F95E5D658D}" xr6:coauthVersionLast="47" xr6:coauthVersionMax="47" xr10:uidLastSave="{00000000-0000-0000-0000-000000000000}"/>
  <bookViews>
    <workbookView xWindow="0" yWindow="12" windowWidth="23256" windowHeight="13176" tabRatio="790" firstSheet="2" xr2:uid="{00000000-000D-0000-FFFF-FFFF00000000}"/>
  </bookViews>
  <sheets>
    <sheet name="Área Artística" sheetId="1" r:id="rId1"/>
    <sheet name="Área Técnica" sheetId="2" r:id="rId2"/>
    <sheet name="Equipamiento" sheetId="3" r:id="rId3"/>
    <sheet name="Producción y Logística" sheetId="4" r:id="rId4"/>
    <sheet name="Totales Generales" sheetId="5" r:id="rId5"/>
    <sheet name="Cronograma General" sheetId="6" r:id="rId6"/>
    <sheet name="Gastos por Cronograma" sheetId="7" r:id="rId7"/>
    <sheet name="Gráficos" sheetId="8" r:id="rId8"/>
    <sheet name="Totales por Fase" sheetId="9" r:id="rId9"/>
  </sheets>
  <definedNames>
    <definedName name="_xlnm.Print_Area" localSheetId="0">'Área Artística'!$A$1:$D$10</definedName>
    <definedName name="_xlnm.Print_Area" localSheetId="1">'Área Técnica'!$A$1:$D$8</definedName>
    <definedName name="_xlnm.Print_Area" localSheetId="5">'Cronograma General'!$A$1:$B$6</definedName>
    <definedName name="_xlnm.Print_Area" localSheetId="2">Equipamiento!$A$1:$D$9</definedName>
    <definedName name="_xlnm.Print_Area" localSheetId="6">'Gastos por Cronograma'!$A$1:$E$25</definedName>
    <definedName name="_xlnm.Print_Area" localSheetId="7">Gráficos!$A$4:$K$65</definedName>
    <definedName name="_xlnm.Print_Area" localSheetId="3">'Producción y Logística'!$A$1:$D$9</definedName>
    <definedName name="_xlnm.Print_Area" localSheetId="4">'Totales Generales'!$A$1:$B$7</definedName>
    <definedName name="_xlnm.Print_Area" localSheetId="8">'Totales por Fase'!$A$1:$B$7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9" l="1"/>
  <c r="D8" i="4"/>
  <c r="D7" i="4"/>
  <c r="D9" i="4" s="1"/>
  <c r="B6" i="5" s="1"/>
  <c r="D6" i="4"/>
  <c r="D5" i="4"/>
  <c r="D4" i="4"/>
  <c r="D3" i="4"/>
  <c r="D8" i="3"/>
  <c r="D7" i="3"/>
  <c r="D6" i="3"/>
  <c r="D5" i="3"/>
  <c r="D4" i="3"/>
  <c r="D3" i="3"/>
  <c r="D9" i="3" s="1"/>
  <c r="B5" i="5" s="1"/>
  <c r="D7" i="2"/>
  <c r="D6" i="2"/>
  <c r="D5" i="2"/>
  <c r="D4" i="2"/>
  <c r="D3" i="2"/>
  <c r="D9" i="1"/>
  <c r="D8" i="1"/>
  <c r="D7" i="1"/>
  <c r="D6" i="1"/>
  <c r="D4" i="1"/>
  <c r="D3" i="1"/>
  <c r="D8" i="2" l="1"/>
  <c r="B4" i="5" s="1"/>
  <c r="D10" i="1"/>
  <c r="B3" i="5" s="1"/>
  <c r="B7" i="5" s="1"/>
</calcChain>
</file>

<file path=xl/sharedStrings.xml><?xml version="1.0" encoding="utf-8"?>
<sst xmlns="http://schemas.openxmlformats.org/spreadsheetml/2006/main" count="177" uniqueCount="53">
  <si>
    <t>Descripción</t>
  </si>
  <si>
    <t>Cantidad</t>
  </si>
  <si>
    <t>Valor Unitario</t>
  </si>
  <si>
    <t>Total</t>
  </si>
  <si>
    <t>Director / Dramaturgo</t>
  </si>
  <si>
    <t>Coreógrafo</t>
  </si>
  <si>
    <t>Intérpretes (4)</t>
  </si>
  <si>
    <t>Músico / Diseñador sonoro</t>
  </si>
  <si>
    <t>Ensayos (salón por hora)</t>
  </si>
  <si>
    <t>Alimentación ensayos</t>
  </si>
  <si>
    <t>TOTAL ÁREA:</t>
  </si>
  <si>
    <t>Técnico VR</t>
  </si>
  <si>
    <t>Técnico de iluminación</t>
  </si>
  <si>
    <t>Técnico de sonido</t>
  </si>
  <si>
    <t>Programador IA / Interactividad</t>
  </si>
  <si>
    <t>Operador de sistemas</t>
  </si>
  <si>
    <t>Gafas VR (4)</t>
  </si>
  <si>
    <t>Cámaras 360° (2)</t>
  </si>
  <si>
    <t>Laptop alto rendimiento</t>
  </si>
  <si>
    <t>Sensores de movimiento</t>
  </si>
  <si>
    <t>Micrófonos ambientales</t>
  </si>
  <si>
    <t>Router alta velocidad</t>
  </si>
  <si>
    <t>Transporte</t>
  </si>
  <si>
    <t>Comunicación / Difusión</t>
  </si>
  <si>
    <t>Diseño gráfico</t>
  </si>
  <si>
    <t>Impresiones / Material didáctico</t>
  </si>
  <si>
    <t>Alquiler sala / teatro</t>
  </si>
  <si>
    <t>Contingencias (10%)</t>
  </si>
  <si>
    <t>Área</t>
  </si>
  <si>
    <t>Área Artística</t>
  </si>
  <si>
    <t>Área Técnica</t>
  </si>
  <si>
    <t>Equipamiento</t>
  </si>
  <si>
    <t>Producción y Logística</t>
  </si>
  <si>
    <t>TOTAL GENERAL</t>
  </si>
  <si>
    <t>Fase</t>
  </si>
  <si>
    <t>Meses</t>
  </si>
  <si>
    <t>Fase 1</t>
  </si>
  <si>
    <t>Mes 1, Mes 2, Mes 3</t>
  </si>
  <si>
    <t>Fase 2</t>
  </si>
  <si>
    <t>Mes 4, Mes 5, Mes 6, Mes 7, Mes 8, Mes 9</t>
  </si>
  <si>
    <t>Fase 3</t>
  </si>
  <si>
    <t>Mes 10, Mes 11, Mes 12, Mes 13, Mes 14, Mes 15</t>
  </si>
  <si>
    <t>Fase 4</t>
  </si>
  <si>
    <t>Mes 16, Mes 17, Mes 18</t>
  </si>
  <si>
    <t>Rubro</t>
  </si>
  <si>
    <t>Mes</t>
  </si>
  <si>
    <t>Total Calculado</t>
  </si>
  <si>
    <t>Mes 4</t>
  </si>
  <si>
    <t>Mes 10</t>
  </si>
  <si>
    <t>Mes 16</t>
  </si>
  <si>
    <t>Gasto Total</t>
  </si>
  <si>
    <t>total</t>
  </si>
  <si>
    <t>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</si>
</sst>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4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9" borderId="1" xfId="0" applyFont="1" applyFill="1" applyBorder="1"/>
    <xf numFmtId="44" fontId="0" fillId="0" borderId="1" xfId="1" applyFont="1" applyBorder="1"/>
    <xf numFmtId="44" fontId="2" fillId="0" borderId="1" xfId="1" applyFont="1" applyBorder="1"/>
    <xf numFmtId="44" fontId="0" fillId="5" borderId="1" xfId="1" applyFont="1" applyFill="1" applyBorder="1"/>
    <xf numFmtId="44" fontId="0" fillId="6" borderId="1" xfId="1" applyFont="1" applyFill="1" applyBorder="1"/>
    <xf numFmtId="44" fontId="0" fillId="7" borderId="1" xfId="1" applyFont="1" applyFill="1" applyBorder="1"/>
    <xf numFmtId="44" fontId="0" fillId="8" borderId="1" xfId="1" applyFont="1" applyFill="1" applyBorder="1"/>
    <xf numFmtId="0" fontId="6" fillId="10" borderId="1" xfId="0" applyFont="1" applyFill="1" applyBorder="1"/>
    <xf numFmtId="44" fontId="6" fillId="10" borderId="1" xfId="0" applyNumberFormat="1" applyFont="1" applyFill="1" applyBorder="1"/>
    <xf numFmtId="0" fontId="6" fillId="0" borderId="1" xfId="0" applyFont="1" applyBorder="1"/>
    <xf numFmtId="44" fontId="6" fillId="0" borderId="1" xfId="1" applyFont="1" applyBorder="1"/>
    <xf numFmtId="0" fontId="0" fillId="0" borderId="0" xfId="0" applyFill="1"/>
    <xf numFmtId="0" fontId="0" fillId="0" borderId="0" xfId="0" applyFill="1" applyAlignment="1"/>
    <xf numFmtId="0" fontId="0" fillId="10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Total por Área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7.6938249485281399E-2"/>
          <c:y val="0.14063240059161985"/>
          <c:w val="0.84789057530761303"/>
          <c:h val="0.7554074074074074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'Totales Generales'!$B$2</c:f>
              <c:strCache>
                <c:ptCount val="1"/>
                <c:pt idx="0">
                  <c:v>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08-400B-999A-BB0F7771E965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08-400B-999A-BB0F7771E965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608-400B-999A-BB0F7771E965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608-400B-999A-BB0F7771E965}"/>
              </c:ext>
            </c:extLst>
          </c:dPt>
          <c:dPt>
            <c:idx val="4"/>
            <c:invertIfNegative val="1"/>
            <c:bubble3D val="0"/>
            <c:spPr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608-400B-999A-BB0F7771E9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'Totales Generales'!$A$3:$A$6</c:f>
              <c:strCache>
                <c:ptCount val="4"/>
                <c:pt idx="0">
                  <c:v>Área Artística</c:v>
                </c:pt>
                <c:pt idx="1">
                  <c:v>Área Técnica</c:v>
                </c:pt>
                <c:pt idx="2">
                  <c:v>Equipamiento</c:v>
                </c:pt>
                <c:pt idx="3">
                  <c:v>Producción y Logística</c:v>
                </c:pt>
              </c:strCache>
            </c:strRef>
          </c:cat>
          <c:val>
            <c:numRef>
              <c:f>'Totales Generales'!$B$3:$B$7</c:f>
              <c:numCache>
                <c:formatCode>_("$"* #,##0.00_);_("$"* \(#,##0.00\);_("$"* "-"??_);_(@_)</c:formatCode>
                <c:ptCount val="5"/>
                <c:pt idx="0">
                  <c:v>7140</c:v>
                </c:pt>
                <c:pt idx="1">
                  <c:v>4500</c:v>
                </c:pt>
                <c:pt idx="2">
                  <c:v>5190</c:v>
                </c:pt>
                <c:pt idx="3">
                  <c:v>3550</c:v>
                </c:pt>
                <c:pt idx="4">
                  <c:v>20380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7-469C-8237-10E45FDEE5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418448738475936"/>
          <c:y val="0.12184508268059181"/>
          <c:w val="0.77306092309491958"/>
          <c:h val="7.3433934335231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Distribución del Presupuesto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0.18414814814814817"/>
          <c:y val="0.127"/>
          <c:w val="0.42709259259259269"/>
          <c:h val="0.85418518518518538"/>
        </c:manualLayout>
      </c:layout>
      <c:pieChart>
        <c:varyColors val="1"/>
        <c:ser>
          <c:idx val="0"/>
          <c:order val="0"/>
          <c:tx>
            <c:strRef>
              <c:f>'Totales Generales'!$B$2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97-4FF8-A27C-5E0003C890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97-4FF8-A27C-5E0003C890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97-4FF8-A27C-5E0003C890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97-4FF8-A27C-5E0003C890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B2-4665-9AD3-17AEAD2337A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'Totales Generales'!$A$3:$A$6</c:f>
              <c:strCache>
                <c:ptCount val="4"/>
                <c:pt idx="0">
                  <c:v>Área Artística</c:v>
                </c:pt>
                <c:pt idx="1">
                  <c:v>Área Técnica</c:v>
                </c:pt>
                <c:pt idx="2">
                  <c:v>Equipamiento</c:v>
                </c:pt>
                <c:pt idx="3">
                  <c:v>Producción y Logística</c:v>
                </c:pt>
              </c:strCache>
            </c:strRef>
          </c:cat>
          <c:val>
            <c:numRef>
              <c:f>'Totales Generales'!$B$3:$B$7</c:f>
              <c:numCache>
                <c:formatCode>_("$"* #,##0.00_);_("$"* \(#,##0.00\);_("$"* "-"??_);_(@_)</c:formatCode>
                <c:ptCount val="5"/>
                <c:pt idx="0">
                  <c:v>7140</c:v>
                </c:pt>
                <c:pt idx="1">
                  <c:v>4500</c:v>
                </c:pt>
                <c:pt idx="2">
                  <c:v>5190</c:v>
                </c:pt>
                <c:pt idx="3">
                  <c:v>3550</c:v>
                </c:pt>
                <c:pt idx="4">
                  <c:v>20380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B2-4665-9AD3-17AEAD2337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s-EC"/>
              <a:t>Gasto total por Fase</a:t>
            </a:r>
          </a:p>
        </c:rich>
      </c:tx>
      <c:layout>
        <c:manualLayout>
          <c:xMode val="edge"/>
          <c:yMode val="edge"/>
          <c:x val="0.37239708431671503"/>
          <c:y val="5.5287101127508599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5.5260831122900089E-2"/>
          <c:y val="0.2211484045100344"/>
          <c:w val="0.78650626231402776"/>
          <c:h val="0.71319816290104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'Totales por Fase'!$B$2</c:f>
              <c:strCache>
                <c:ptCount val="1"/>
                <c:pt idx="0">
                  <c:v>Gasto Total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D0-450A-9F71-0D78A61C18A9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D0-450A-9F71-0D78A61C18A9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D0-450A-9F71-0D78A61C18A9}"/>
              </c:ext>
            </c:extLst>
          </c:dPt>
          <c:dPt>
            <c:idx val="3"/>
            <c:invertIfNegative val="1"/>
            <c:bubble3D val="0"/>
            <c:spPr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84000"/>
                    </a:schemeClr>
                  </a:gs>
                </a:gsLst>
                <a:lin ang="5400000" scaled="1"/>
              </a:gra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D0-450A-9F71-0D78A61C18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'Totales por Fase'!$A$3:$A$6</c:f>
              <c:strCache>
                <c:ptCount val="4"/>
                <c:pt idx="0">
                  <c:v>Fase 1</c:v>
                </c:pt>
                <c:pt idx="1">
                  <c:v>Fase 2</c:v>
                </c:pt>
                <c:pt idx="2">
                  <c:v>Fase 3</c:v>
                </c:pt>
                <c:pt idx="3">
                  <c:v>Fase 4</c:v>
                </c:pt>
              </c:strCache>
            </c:strRef>
          </c:cat>
          <c:val>
            <c:numRef>
              <c:f>'Totales por Fase'!$B$3:$B$6</c:f>
              <c:numCache>
                <c:formatCode>_("$"* #,##0.00_);_("$"* \(#,##0.00\);_("$"* "-"??_);_(@_)</c:formatCode>
                <c:ptCount val="4"/>
                <c:pt idx="0">
                  <c:v>0</c:v>
                </c:pt>
                <c:pt idx="1">
                  <c:v>7140</c:v>
                </c:pt>
                <c:pt idx="2">
                  <c:v>9690</c:v>
                </c:pt>
                <c:pt idx="3">
                  <c:v>3550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C-4A59-B07B-28DCDBE1C5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6617184290955672"/>
          <c:y val="0.20732662922815726"/>
          <c:w val="0.52618858650626232"/>
          <c:h val="5.83110225937051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6</xdr:row>
      <xdr:rowOff>106680</xdr:rowOff>
    </xdr:from>
    <xdr:ext cx="5905500" cy="29794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289560</xdr:colOff>
      <xdr:row>48</xdr:row>
      <xdr:rowOff>30480</xdr:rowOff>
    </xdr:from>
    <xdr:ext cx="5707380" cy="28879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251460</xdr:colOff>
      <xdr:row>26</xdr:row>
      <xdr:rowOff>45720</xdr:rowOff>
    </xdr:from>
    <xdr:ext cx="5745480" cy="36753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zoomScaleNormal="100" workbookViewId="0">
      <selection activeCell="B18" sqref="B18"/>
    </sheetView>
  </sheetViews>
  <sheetFormatPr baseColWidth="10" defaultColWidth="8.88671875" defaultRowHeight="14.4" x14ac:dyDescent="0.3"/>
  <cols>
    <col min="1" max="1" width="29" customWidth="1"/>
    <col min="2" max="2" width="12" customWidth="1"/>
    <col min="3" max="3" width="18" customWidth="1"/>
    <col min="4" max="4" width="15" customWidth="1"/>
  </cols>
  <sheetData>
    <row r="1" spans="1:4" x14ac:dyDescent="0.3">
      <c r="A1" s="27" t="s">
        <v>29</v>
      </c>
      <c r="B1" s="26"/>
      <c r="C1" s="26"/>
      <c r="D1" s="26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 t="s">
        <v>4</v>
      </c>
      <c r="B3" s="1">
        <v>1</v>
      </c>
      <c r="C3" s="1">
        <v>1500</v>
      </c>
      <c r="D3" s="1">
        <f t="shared" ref="D3:D4" si="0">B3*C3</f>
        <v>1500</v>
      </c>
    </row>
    <row r="4" spans="1:4" x14ac:dyDescent="0.3">
      <c r="A4" s="1" t="s">
        <v>5</v>
      </c>
      <c r="B4" s="1">
        <v>1</v>
      </c>
      <c r="C4" s="1">
        <v>1200</v>
      </c>
      <c r="D4" s="1">
        <f t="shared" si="0"/>
        <v>1200</v>
      </c>
    </row>
    <row r="5" spans="1:4" x14ac:dyDescent="0.3">
      <c r="A5" s="3" t="s">
        <v>0</v>
      </c>
      <c r="B5" s="3" t="s">
        <v>1</v>
      </c>
      <c r="C5" s="3" t="s">
        <v>2</v>
      </c>
      <c r="D5" s="3" t="s">
        <v>3</v>
      </c>
    </row>
    <row r="6" spans="1:4" x14ac:dyDescent="0.3">
      <c r="A6" s="1" t="s">
        <v>6</v>
      </c>
      <c r="B6" s="1">
        <v>4</v>
      </c>
      <c r="C6" s="14">
        <v>800</v>
      </c>
      <c r="D6" s="14">
        <f>B6*C6</f>
        <v>3200</v>
      </c>
    </row>
    <row r="7" spans="1:4" x14ac:dyDescent="0.3">
      <c r="A7" s="1" t="s">
        <v>7</v>
      </c>
      <c r="B7" s="1">
        <v>1</v>
      </c>
      <c r="C7" s="14">
        <v>600</v>
      </c>
      <c r="D7" s="14">
        <f>B7*C7</f>
        <v>600</v>
      </c>
    </row>
    <row r="8" spans="1:4" x14ac:dyDescent="0.3">
      <c r="A8" s="1" t="s">
        <v>8</v>
      </c>
      <c r="B8" s="1">
        <v>40</v>
      </c>
      <c r="C8" s="14">
        <v>10</v>
      </c>
      <c r="D8" s="14">
        <f>B8*C8</f>
        <v>400</v>
      </c>
    </row>
    <row r="9" spans="1:4" x14ac:dyDescent="0.3">
      <c r="A9" s="1" t="s">
        <v>9</v>
      </c>
      <c r="B9" s="1">
        <v>40</v>
      </c>
      <c r="C9" s="14">
        <v>6</v>
      </c>
      <c r="D9" s="14">
        <f>B9*C9</f>
        <v>240</v>
      </c>
    </row>
    <row r="10" spans="1:4" x14ac:dyDescent="0.3">
      <c r="A10" s="1"/>
      <c r="B10" s="1"/>
      <c r="C10" s="2" t="s">
        <v>10</v>
      </c>
      <c r="D10" s="15">
        <f>SUM(D3:D9)</f>
        <v>7140</v>
      </c>
    </row>
  </sheetData>
  <mergeCells count="1">
    <mergeCell ref="A1:D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35" customWidth="1"/>
    <col min="2" max="2" width="12" customWidth="1"/>
    <col min="3" max="3" width="18" customWidth="1"/>
    <col min="4" max="4" width="15" customWidth="1"/>
  </cols>
  <sheetData>
    <row r="1" spans="1:4" x14ac:dyDescent="0.3">
      <c r="A1" s="26" t="s">
        <v>30</v>
      </c>
      <c r="B1" s="26"/>
      <c r="C1" s="26"/>
      <c r="D1" s="26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 t="s">
        <v>11</v>
      </c>
      <c r="B3" s="1">
        <v>1</v>
      </c>
      <c r="C3" s="14">
        <v>1200</v>
      </c>
      <c r="D3" s="14">
        <f>B3*C3</f>
        <v>1200</v>
      </c>
    </row>
    <row r="4" spans="1:4" x14ac:dyDescent="0.3">
      <c r="A4" s="1" t="s">
        <v>12</v>
      </c>
      <c r="B4" s="1">
        <v>1</v>
      </c>
      <c r="C4" s="14">
        <v>600</v>
      </c>
      <c r="D4" s="14">
        <f>B4*C4</f>
        <v>600</v>
      </c>
    </row>
    <row r="5" spans="1:4" x14ac:dyDescent="0.3">
      <c r="A5" s="1" t="s">
        <v>13</v>
      </c>
      <c r="B5" s="1">
        <v>1</v>
      </c>
      <c r="C5" s="14">
        <v>500</v>
      </c>
      <c r="D5" s="14">
        <f>B5*C5</f>
        <v>500</v>
      </c>
    </row>
    <row r="6" spans="1:4" x14ac:dyDescent="0.3">
      <c r="A6" s="1" t="s">
        <v>14</v>
      </c>
      <c r="B6" s="1">
        <v>1</v>
      </c>
      <c r="C6" s="14">
        <v>1500</v>
      </c>
      <c r="D6" s="14">
        <f>B6*C6</f>
        <v>1500</v>
      </c>
    </row>
    <row r="7" spans="1:4" x14ac:dyDescent="0.3">
      <c r="A7" s="1" t="s">
        <v>15</v>
      </c>
      <c r="B7" s="1">
        <v>1</v>
      </c>
      <c r="C7" s="14">
        <v>700</v>
      </c>
      <c r="D7" s="14">
        <f>B7*C7</f>
        <v>700</v>
      </c>
    </row>
    <row r="8" spans="1:4" x14ac:dyDescent="0.3">
      <c r="A8" s="1"/>
      <c r="B8" s="1"/>
      <c r="C8" s="2" t="s">
        <v>10</v>
      </c>
      <c r="D8" s="15">
        <f>SUM(D3:D7)</f>
        <v>4500</v>
      </c>
    </row>
    <row r="20" spans="3:3" x14ac:dyDescent="0.3">
      <c r="C20" s="1"/>
    </row>
  </sheetData>
  <mergeCells count="1">
    <mergeCell ref="A1:D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zoomScaleNormal="100" workbookViewId="0">
      <selection activeCell="B18" sqref="B18"/>
    </sheetView>
  </sheetViews>
  <sheetFormatPr baseColWidth="10" defaultColWidth="8.88671875" defaultRowHeight="14.4" x14ac:dyDescent="0.3"/>
  <cols>
    <col min="1" max="1" width="27" customWidth="1"/>
    <col min="2" max="2" width="12" customWidth="1"/>
    <col min="3" max="3" width="18" customWidth="1"/>
    <col min="4" max="4" width="15" customWidth="1"/>
  </cols>
  <sheetData>
    <row r="1" spans="1:4" x14ac:dyDescent="0.3">
      <c r="A1" s="26" t="s">
        <v>32</v>
      </c>
      <c r="B1" s="26"/>
      <c r="C1" s="26"/>
      <c r="D1" s="26"/>
    </row>
    <row r="2" spans="1:4" x14ac:dyDescent="0.3">
      <c r="A2" s="9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 t="s">
        <v>16</v>
      </c>
      <c r="B3" s="1">
        <v>4</v>
      </c>
      <c r="C3" s="14">
        <v>450</v>
      </c>
      <c r="D3" s="14">
        <f t="shared" ref="D3:D8" si="0">B3*C3</f>
        <v>1800</v>
      </c>
    </row>
    <row r="4" spans="1:4" x14ac:dyDescent="0.3">
      <c r="A4" s="1" t="s">
        <v>17</v>
      </c>
      <c r="B4" s="1">
        <v>2</v>
      </c>
      <c r="C4" s="14">
        <v>380</v>
      </c>
      <c r="D4" s="14">
        <f t="shared" si="0"/>
        <v>760</v>
      </c>
    </row>
    <row r="5" spans="1:4" x14ac:dyDescent="0.3">
      <c r="A5" s="1" t="s">
        <v>18</v>
      </c>
      <c r="B5" s="1">
        <v>1</v>
      </c>
      <c r="C5" s="14">
        <v>1800</v>
      </c>
      <c r="D5" s="14">
        <f t="shared" si="0"/>
        <v>1800</v>
      </c>
    </row>
    <row r="6" spans="1:4" x14ac:dyDescent="0.3">
      <c r="A6" s="1" t="s">
        <v>19</v>
      </c>
      <c r="B6" s="1">
        <v>6</v>
      </c>
      <c r="C6" s="14">
        <v>75</v>
      </c>
      <c r="D6" s="14">
        <f t="shared" si="0"/>
        <v>450</v>
      </c>
    </row>
    <row r="7" spans="1:4" x14ac:dyDescent="0.3">
      <c r="A7" s="1" t="s">
        <v>20</v>
      </c>
      <c r="B7" s="1">
        <v>2</v>
      </c>
      <c r="C7" s="14">
        <v>120</v>
      </c>
      <c r="D7" s="14">
        <f t="shared" si="0"/>
        <v>240</v>
      </c>
    </row>
    <row r="8" spans="1:4" x14ac:dyDescent="0.3">
      <c r="A8" s="1" t="s">
        <v>21</v>
      </c>
      <c r="B8" s="1">
        <v>1</v>
      </c>
      <c r="C8" s="14">
        <v>140</v>
      </c>
      <c r="D8" s="14">
        <f t="shared" si="0"/>
        <v>140</v>
      </c>
    </row>
    <row r="9" spans="1:4" x14ac:dyDescent="0.3">
      <c r="A9" s="1"/>
      <c r="B9" s="1"/>
      <c r="C9" s="2" t="s">
        <v>10</v>
      </c>
      <c r="D9" s="15">
        <f>SUM(D3:D8)</f>
        <v>5190</v>
      </c>
    </row>
  </sheetData>
  <mergeCells count="1">
    <mergeCell ref="A1:D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36" customWidth="1"/>
    <col min="2" max="2" width="12" customWidth="1"/>
    <col min="3" max="3" width="18" customWidth="1"/>
    <col min="4" max="4" width="15" customWidth="1"/>
  </cols>
  <sheetData>
    <row r="1" spans="1:4" x14ac:dyDescent="0.3">
      <c r="A1" s="26" t="s">
        <v>32</v>
      </c>
      <c r="B1" s="26"/>
      <c r="C1" s="26"/>
      <c r="D1" s="26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1" t="s">
        <v>22</v>
      </c>
      <c r="B3" s="1">
        <v>12</v>
      </c>
      <c r="C3" s="14">
        <v>25</v>
      </c>
      <c r="D3" s="14">
        <f t="shared" ref="D3:D8" si="0">B3*C3</f>
        <v>300</v>
      </c>
    </row>
    <row r="4" spans="1:4" x14ac:dyDescent="0.3">
      <c r="A4" s="1" t="s">
        <v>23</v>
      </c>
      <c r="B4" s="1">
        <v>1</v>
      </c>
      <c r="C4" s="14">
        <v>800</v>
      </c>
      <c r="D4" s="14">
        <f t="shared" si="0"/>
        <v>800</v>
      </c>
    </row>
    <row r="5" spans="1:4" x14ac:dyDescent="0.3">
      <c r="A5" s="1" t="s">
        <v>24</v>
      </c>
      <c r="B5" s="1">
        <v>1</v>
      </c>
      <c r="C5" s="14">
        <v>600</v>
      </c>
      <c r="D5" s="14">
        <f t="shared" si="0"/>
        <v>600</v>
      </c>
    </row>
    <row r="6" spans="1:4" x14ac:dyDescent="0.3">
      <c r="A6" s="1" t="s">
        <v>25</v>
      </c>
      <c r="B6" s="1">
        <v>1</v>
      </c>
      <c r="C6" s="14">
        <v>150</v>
      </c>
      <c r="D6" s="14">
        <f t="shared" si="0"/>
        <v>150</v>
      </c>
    </row>
    <row r="7" spans="1:4" x14ac:dyDescent="0.3">
      <c r="A7" s="1" t="s">
        <v>26</v>
      </c>
      <c r="B7" s="1">
        <v>2</v>
      </c>
      <c r="C7" s="14">
        <v>600</v>
      </c>
      <c r="D7" s="14">
        <f t="shared" si="0"/>
        <v>1200</v>
      </c>
    </row>
    <row r="8" spans="1:4" x14ac:dyDescent="0.3">
      <c r="A8" s="1" t="s">
        <v>27</v>
      </c>
      <c r="B8" s="1">
        <v>1</v>
      </c>
      <c r="C8" s="14">
        <v>500</v>
      </c>
      <c r="D8" s="14">
        <f t="shared" si="0"/>
        <v>500</v>
      </c>
    </row>
    <row r="9" spans="1:4" x14ac:dyDescent="0.3">
      <c r="A9" s="1"/>
      <c r="B9" s="1"/>
      <c r="C9" s="2" t="s">
        <v>10</v>
      </c>
      <c r="D9" s="15">
        <f>SUM(D3:D8)</f>
        <v>3550</v>
      </c>
    </row>
  </sheetData>
  <mergeCells count="1">
    <mergeCell ref="A1:D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26" customWidth="1"/>
    <col min="2" max="2" width="32" customWidth="1"/>
  </cols>
  <sheetData>
    <row r="1" spans="1:2" x14ac:dyDescent="0.3">
      <c r="A1" s="26" t="s">
        <v>32</v>
      </c>
      <c r="B1" s="26"/>
    </row>
    <row r="2" spans="1:2" x14ac:dyDescent="0.3">
      <c r="A2" s="10" t="s">
        <v>28</v>
      </c>
      <c r="B2" s="10" t="s">
        <v>3</v>
      </c>
    </row>
    <row r="3" spans="1:2" x14ac:dyDescent="0.3">
      <c r="A3" s="1" t="s">
        <v>29</v>
      </c>
      <c r="B3" s="14">
        <f>'Área Artística'!D10</f>
        <v>7140</v>
      </c>
    </row>
    <row r="4" spans="1:2" x14ac:dyDescent="0.3">
      <c r="A4" s="1" t="s">
        <v>30</v>
      </c>
      <c r="B4" s="14">
        <f>'Área Técnica'!D8</f>
        <v>4500</v>
      </c>
    </row>
    <row r="5" spans="1:2" x14ac:dyDescent="0.3">
      <c r="A5" s="1" t="s">
        <v>31</v>
      </c>
      <c r="B5" s="14">
        <f>Equipamiento!D9</f>
        <v>5190</v>
      </c>
    </row>
    <row r="6" spans="1:2" x14ac:dyDescent="0.3">
      <c r="A6" s="1" t="s">
        <v>32</v>
      </c>
      <c r="B6" s="14">
        <f>'Producción y Logística'!D9</f>
        <v>3550</v>
      </c>
    </row>
    <row r="7" spans="1:2" x14ac:dyDescent="0.3">
      <c r="A7" s="22" t="s">
        <v>33</v>
      </c>
      <c r="B7" s="23">
        <f>SUM(B3:B6)</f>
        <v>20380</v>
      </c>
    </row>
  </sheetData>
  <mergeCells count="1">
    <mergeCell ref="A1:B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10" customWidth="1"/>
    <col min="2" max="2" width="50" customWidth="1"/>
  </cols>
  <sheetData>
    <row r="1" spans="1:2" x14ac:dyDescent="0.3">
      <c r="A1" s="26" t="s">
        <v>32</v>
      </c>
      <c r="B1" s="26"/>
    </row>
    <row r="2" spans="1:2" x14ac:dyDescent="0.3">
      <c r="A2" s="11" t="s">
        <v>34</v>
      </c>
      <c r="B2" s="11" t="s">
        <v>35</v>
      </c>
    </row>
    <row r="3" spans="1:2" x14ac:dyDescent="0.3">
      <c r="A3" s="4" t="s">
        <v>36</v>
      </c>
      <c r="B3" s="4" t="s">
        <v>37</v>
      </c>
    </row>
    <row r="4" spans="1:2" x14ac:dyDescent="0.3">
      <c r="A4" s="4" t="s">
        <v>38</v>
      </c>
      <c r="B4" s="4" t="s">
        <v>39</v>
      </c>
    </row>
    <row r="5" spans="1:2" x14ac:dyDescent="0.3">
      <c r="A5" s="4" t="s">
        <v>40</v>
      </c>
      <c r="B5" s="4" t="s">
        <v>41</v>
      </c>
    </row>
    <row r="6" spans="1:2" x14ac:dyDescent="0.3">
      <c r="A6" s="4" t="s">
        <v>42</v>
      </c>
      <c r="B6" s="4" t="s">
        <v>43</v>
      </c>
    </row>
  </sheetData>
  <mergeCells count="1">
    <mergeCell ref="A1:B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5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27.6640625" customWidth="1"/>
    <col min="2" max="2" width="20.5546875" customWidth="1"/>
    <col min="3" max="4" width="10" customWidth="1"/>
    <col min="5" max="5" width="19" customWidth="1"/>
  </cols>
  <sheetData>
    <row r="1" spans="1:5" x14ac:dyDescent="0.3">
      <c r="A1" s="26" t="s">
        <v>32</v>
      </c>
      <c r="B1" s="26"/>
      <c r="C1" s="26"/>
      <c r="D1" s="26"/>
      <c r="E1" s="26"/>
    </row>
    <row r="2" spans="1:5" x14ac:dyDescent="0.3">
      <c r="A2" s="12" t="s">
        <v>44</v>
      </c>
      <c r="B2" s="12" t="s">
        <v>28</v>
      </c>
      <c r="C2" s="12" t="s">
        <v>34</v>
      </c>
      <c r="D2" s="12" t="s">
        <v>45</v>
      </c>
      <c r="E2" s="12" t="s">
        <v>46</v>
      </c>
    </row>
    <row r="3" spans="1:5" x14ac:dyDescent="0.3">
      <c r="A3" s="1" t="s">
        <v>4</v>
      </c>
      <c r="B3" s="1" t="s">
        <v>29</v>
      </c>
      <c r="C3" s="1" t="s">
        <v>38</v>
      </c>
      <c r="D3" s="1" t="s">
        <v>47</v>
      </c>
      <c r="E3" s="14">
        <v>1500</v>
      </c>
    </row>
    <row r="4" spans="1:5" x14ac:dyDescent="0.3">
      <c r="A4" s="1" t="s">
        <v>5</v>
      </c>
      <c r="B4" s="1" t="s">
        <v>29</v>
      </c>
      <c r="C4" s="1" t="s">
        <v>38</v>
      </c>
      <c r="D4" s="1" t="s">
        <v>47</v>
      </c>
      <c r="E4" s="14">
        <v>1200</v>
      </c>
    </row>
    <row r="5" spans="1:5" x14ac:dyDescent="0.3">
      <c r="A5" s="1" t="s">
        <v>6</v>
      </c>
      <c r="B5" s="1" t="s">
        <v>29</v>
      </c>
      <c r="C5" s="1" t="s">
        <v>38</v>
      </c>
      <c r="D5" s="1" t="s">
        <v>47</v>
      </c>
      <c r="E5" s="14">
        <v>3200</v>
      </c>
    </row>
    <row r="6" spans="1:5" x14ac:dyDescent="0.3">
      <c r="A6" s="1" t="s">
        <v>7</v>
      </c>
      <c r="B6" s="1" t="s">
        <v>29</v>
      </c>
      <c r="C6" s="1" t="s">
        <v>38</v>
      </c>
      <c r="D6" s="1" t="s">
        <v>47</v>
      </c>
      <c r="E6" s="14">
        <v>600</v>
      </c>
    </row>
    <row r="7" spans="1:5" x14ac:dyDescent="0.3">
      <c r="A7" s="1" t="s">
        <v>8</v>
      </c>
      <c r="B7" s="1" t="s">
        <v>29</v>
      </c>
      <c r="C7" s="1" t="s">
        <v>38</v>
      </c>
      <c r="D7" s="1" t="s">
        <v>47</v>
      </c>
      <c r="E7" s="14">
        <v>400</v>
      </c>
    </row>
    <row r="8" spans="1:5" x14ac:dyDescent="0.3">
      <c r="A8" s="1" t="s">
        <v>9</v>
      </c>
      <c r="B8" s="1" t="s">
        <v>29</v>
      </c>
      <c r="C8" s="1" t="s">
        <v>38</v>
      </c>
      <c r="D8" s="1" t="s">
        <v>47</v>
      </c>
      <c r="E8" s="14">
        <v>240</v>
      </c>
    </row>
    <row r="9" spans="1:5" x14ac:dyDescent="0.3">
      <c r="A9" s="1" t="s">
        <v>11</v>
      </c>
      <c r="B9" s="1" t="s">
        <v>30</v>
      </c>
      <c r="C9" s="1" t="s">
        <v>40</v>
      </c>
      <c r="D9" s="1" t="s">
        <v>48</v>
      </c>
      <c r="E9" s="14">
        <v>1200</v>
      </c>
    </row>
    <row r="10" spans="1:5" x14ac:dyDescent="0.3">
      <c r="A10" s="1" t="s">
        <v>12</v>
      </c>
      <c r="B10" s="1" t="s">
        <v>30</v>
      </c>
      <c r="C10" s="1" t="s">
        <v>40</v>
      </c>
      <c r="D10" s="1" t="s">
        <v>48</v>
      </c>
      <c r="E10" s="14">
        <v>600</v>
      </c>
    </row>
    <row r="11" spans="1:5" x14ac:dyDescent="0.3">
      <c r="A11" s="1" t="s">
        <v>13</v>
      </c>
      <c r="B11" s="1" t="s">
        <v>30</v>
      </c>
      <c r="C11" s="1" t="s">
        <v>40</v>
      </c>
      <c r="D11" s="1" t="s">
        <v>48</v>
      </c>
      <c r="E11" s="14">
        <v>500</v>
      </c>
    </row>
    <row r="12" spans="1:5" x14ac:dyDescent="0.3">
      <c r="A12" s="1" t="s">
        <v>14</v>
      </c>
      <c r="B12" s="1" t="s">
        <v>30</v>
      </c>
      <c r="C12" s="1" t="s">
        <v>40</v>
      </c>
      <c r="D12" s="1" t="s">
        <v>48</v>
      </c>
      <c r="E12" s="14">
        <v>1500</v>
      </c>
    </row>
    <row r="13" spans="1:5" x14ac:dyDescent="0.3">
      <c r="A13" s="1" t="s">
        <v>15</v>
      </c>
      <c r="B13" s="1" t="s">
        <v>30</v>
      </c>
      <c r="C13" s="1" t="s">
        <v>40</v>
      </c>
      <c r="D13" s="1" t="s">
        <v>48</v>
      </c>
      <c r="E13" s="14">
        <v>700</v>
      </c>
    </row>
    <row r="14" spans="1:5" x14ac:dyDescent="0.3">
      <c r="A14" s="1" t="s">
        <v>16</v>
      </c>
      <c r="B14" s="1" t="s">
        <v>31</v>
      </c>
      <c r="C14" s="1" t="s">
        <v>40</v>
      </c>
      <c r="D14" s="1" t="s">
        <v>48</v>
      </c>
      <c r="E14" s="14">
        <v>1800</v>
      </c>
    </row>
    <row r="15" spans="1:5" x14ac:dyDescent="0.3">
      <c r="A15" s="1" t="s">
        <v>17</v>
      </c>
      <c r="B15" s="1" t="s">
        <v>31</v>
      </c>
      <c r="C15" s="1" t="s">
        <v>40</v>
      </c>
      <c r="D15" s="1" t="s">
        <v>48</v>
      </c>
      <c r="E15" s="14">
        <v>760</v>
      </c>
    </row>
    <row r="16" spans="1:5" x14ac:dyDescent="0.3">
      <c r="A16" s="1" t="s">
        <v>18</v>
      </c>
      <c r="B16" s="1" t="s">
        <v>31</v>
      </c>
      <c r="C16" s="1" t="s">
        <v>40</v>
      </c>
      <c r="D16" s="1" t="s">
        <v>48</v>
      </c>
      <c r="E16" s="14">
        <v>1800</v>
      </c>
    </row>
    <row r="17" spans="1:5" x14ac:dyDescent="0.3">
      <c r="A17" s="1" t="s">
        <v>19</v>
      </c>
      <c r="B17" s="1" t="s">
        <v>31</v>
      </c>
      <c r="C17" s="1" t="s">
        <v>40</v>
      </c>
      <c r="D17" s="1" t="s">
        <v>48</v>
      </c>
      <c r="E17" s="14">
        <v>450</v>
      </c>
    </row>
    <row r="18" spans="1:5" x14ac:dyDescent="0.3">
      <c r="A18" s="1" t="s">
        <v>20</v>
      </c>
      <c r="B18" s="1" t="s">
        <v>31</v>
      </c>
      <c r="C18" s="1" t="s">
        <v>40</v>
      </c>
      <c r="D18" s="1" t="s">
        <v>48</v>
      </c>
      <c r="E18" s="14">
        <v>240</v>
      </c>
    </row>
    <row r="19" spans="1:5" x14ac:dyDescent="0.3">
      <c r="A19" s="1" t="s">
        <v>21</v>
      </c>
      <c r="B19" s="1" t="s">
        <v>31</v>
      </c>
      <c r="C19" s="1" t="s">
        <v>40</v>
      </c>
      <c r="D19" s="1" t="s">
        <v>48</v>
      </c>
      <c r="E19" s="14">
        <v>140</v>
      </c>
    </row>
    <row r="20" spans="1:5" x14ac:dyDescent="0.3">
      <c r="A20" s="1" t="s">
        <v>22</v>
      </c>
      <c r="B20" s="1" t="s">
        <v>32</v>
      </c>
      <c r="C20" s="1" t="s">
        <v>42</v>
      </c>
      <c r="D20" s="1" t="s">
        <v>49</v>
      </c>
      <c r="E20" s="14">
        <v>300</v>
      </c>
    </row>
    <row r="21" spans="1:5" x14ac:dyDescent="0.3">
      <c r="A21" s="1" t="s">
        <v>23</v>
      </c>
      <c r="B21" s="1" t="s">
        <v>32</v>
      </c>
      <c r="C21" s="1" t="s">
        <v>42</v>
      </c>
      <c r="D21" s="1" t="s">
        <v>49</v>
      </c>
      <c r="E21" s="14">
        <v>800</v>
      </c>
    </row>
    <row r="22" spans="1:5" x14ac:dyDescent="0.3">
      <c r="A22" s="1" t="s">
        <v>24</v>
      </c>
      <c r="B22" s="1" t="s">
        <v>32</v>
      </c>
      <c r="C22" s="1" t="s">
        <v>42</v>
      </c>
      <c r="D22" s="1" t="s">
        <v>49</v>
      </c>
      <c r="E22" s="14">
        <v>600</v>
      </c>
    </row>
    <row r="23" spans="1:5" x14ac:dyDescent="0.3">
      <c r="A23" s="1" t="s">
        <v>25</v>
      </c>
      <c r="B23" s="1" t="s">
        <v>32</v>
      </c>
      <c r="C23" s="1" t="s">
        <v>42</v>
      </c>
      <c r="D23" s="1" t="s">
        <v>49</v>
      </c>
      <c r="E23" s="14">
        <v>150</v>
      </c>
    </row>
    <row r="24" spans="1:5" x14ac:dyDescent="0.3">
      <c r="A24" s="1" t="s">
        <v>26</v>
      </c>
      <c r="B24" s="1" t="s">
        <v>32</v>
      </c>
      <c r="C24" s="1" t="s">
        <v>42</v>
      </c>
      <c r="D24" s="1" t="s">
        <v>49</v>
      </c>
      <c r="E24" s="14">
        <v>1200</v>
      </c>
    </row>
    <row r="25" spans="1:5" x14ac:dyDescent="0.3">
      <c r="A25" s="1" t="s">
        <v>27</v>
      </c>
      <c r="B25" s="1" t="s">
        <v>32</v>
      </c>
      <c r="C25" s="1" t="s">
        <v>42</v>
      </c>
      <c r="D25" s="1" t="s">
        <v>49</v>
      </c>
      <c r="E25" s="14">
        <v>500</v>
      </c>
    </row>
  </sheetData>
  <mergeCells count="1">
    <mergeCell ref="A1:E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"/>
  <sheetViews>
    <sheetView tabSelected="1" topLeftCell="A4" workbookViewId="0">
      <selection activeCell="B18" sqref="B18"/>
    </sheetView>
  </sheetViews>
  <sheetFormatPr baseColWidth="10" defaultColWidth="8.88671875" defaultRowHeight="14.4" x14ac:dyDescent="0.3"/>
  <sheetData>
    <row r="1" spans="1:10" x14ac:dyDescent="0.3">
      <c r="A1" s="24"/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3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3">
      <c r="A4" s="26" t="s">
        <v>52</v>
      </c>
      <c r="B4" s="26"/>
      <c r="C4" s="26"/>
      <c r="D4" s="26"/>
      <c r="E4" s="26"/>
      <c r="F4" s="26"/>
      <c r="G4" s="26"/>
      <c r="H4" s="26"/>
      <c r="I4" s="26"/>
      <c r="J4" s="26"/>
    </row>
    <row r="5" spans="1:10" x14ac:dyDescent="0.3">
      <c r="A5" s="26"/>
      <c r="B5" s="26"/>
      <c r="C5" s="26"/>
      <c r="D5" s="26"/>
      <c r="E5" s="26"/>
      <c r="F5" s="26"/>
      <c r="G5" s="26"/>
      <c r="H5" s="26"/>
      <c r="I5" s="26"/>
      <c r="J5" s="26"/>
    </row>
  </sheetData>
  <mergeCells count="1">
    <mergeCell ref="A4:J5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tabSelected="1" workbookViewId="0">
      <selection activeCell="B18" sqref="B18"/>
    </sheetView>
  </sheetViews>
  <sheetFormatPr baseColWidth="10" defaultColWidth="8.88671875" defaultRowHeight="14.4" x14ac:dyDescent="0.3"/>
  <cols>
    <col min="1" max="1" width="10" customWidth="1"/>
    <col min="2" max="2" width="15" customWidth="1"/>
  </cols>
  <sheetData>
    <row r="1" spans="1:2" x14ac:dyDescent="0.3">
      <c r="A1" s="26" t="s">
        <v>32</v>
      </c>
      <c r="B1" s="26"/>
    </row>
    <row r="2" spans="1:2" x14ac:dyDescent="0.3">
      <c r="A2" s="13" t="s">
        <v>34</v>
      </c>
      <c r="B2" s="13" t="s">
        <v>50</v>
      </c>
    </row>
    <row r="3" spans="1:2" x14ac:dyDescent="0.3">
      <c r="A3" s="5" t="s">
        <v>36</v>
      </c>
      <c r="B3" s="16">
        <v>0</v>
      </c>
    </row>
    <row r="4" spans="1:2" x14ac:dyDescent="0.3">
      <c r="A4" s="6" t="s">
        <v>38</v>
      </c>
      <c r="B4" s="17">
        <v>7140</v>
      </c>
    </row>
    <row r="5" spans="1:2" x14ac:dyDescent="0.3">
      <c r="A5" s="7" t="s">
        <v>40</v>
      </c>
      <c r="B5" s="18">
        <v>9690</v>
      </c>
    </row>
    <row r="6" spans="1:2" x14ac:dyDescent="0.3">
      <c r="A6" s="8" t="s">
        <v>42</v>
      </c>
      <c r="B6" s="19">
        <v>3550</v>
      </c>
    </row>
    <row r="7" spans="1:2" x14ac:dyDescent="0.3">
      <c r="A7" s="20" t="s">
        <v>51</v>
      </c>
      <c r="B7" s="21">
        <f>SUM(B3:B6)</f>
        <v>20380</v>
      </c>
    </row>
  </sheetData>
  <mergeCells count="1">
    <mergeCell ref="A1:B1"/>
  </mergeCells>
  <printOptions horizontalCentered="1" verticalCentered="1"/>
  <pageMargins left="0.74803149606299213" right="0.74803149606299213" top="0.98425196850393704" bottom="0.98425196850393704" header="0.51181102362204722" footer="0.511811023622047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9</vt:i4>
      </vt:variant>
    </vt:vector>
  </HeadingPairs>
  <TitlesOfParts>
    <vt:vector size="18" baseType="lpstr">
      <vt:lpstr>Área Artística</vt:lpstr>
      <vt:lpstr>Área Técnica</vt:lpstr>
      <vt:lpstr>Equipamiento</vt:lpstr>
      <vt:lpstr>Producción y Logística</vt:lpstr>
      <vt:lpstr>Totales Generales</vt:lpstr>
      <vt:lpstr>Cronograma General</vt:lpstr>
      <vt:lpstr>Gastos por Cronograma</vt:lpstr>
      <vt:lpstr>Gráficos</vt:lpstr>
      <vt:lpstr>Totales por Fase</vt:lpstr>
      <vt:lpstr>'Área Artística'!Área_de_impresión</vt:lpstr>
      <vt:lpstr>'Área Técnica'!Área_de_impresión</vt:lpstr>
      <vt:lpstr>'Cronograma General'!Área_de_impresión</vt:lpstr>
      <vt:lpstr>Equipamiento!Área_de_impresión</vt:lpstr>
      <vt:lpstr>'Gastos por Cronograma'!Área_de_impresión</vt:lpstr>
      <vt:lpstr>Gráficos!Área_de_impresión</vt:lpstr>
      <vt:lpstr>'Producción y Logística'!Área_de_impresión</vt:lpstr>
      <vt:lpstr>'Totales Generales'!Área_de_impresión</vt:lpstr>
      <vt:lpstr>'Totales por Fase'!Área_de_impresión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XAVIER PALLO AVILA</cp:lastModifiedBy>
  <cp:lastPrinted>2025-11-23T22:45:35Z</cp:lastPrinted>
  <dcterms:created xsi:type="dcterms:W3CDTF">2025-11-23T15:25:11Z</dcterms:created>
  <dcterms:modified xsi:type="dcterms:W3CDTF">2025-11-24T02:42:53Z</dcterms:modified>
</cp:coreProperties>
</file>